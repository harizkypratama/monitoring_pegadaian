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mulasi" sheetId="1" r:id="rId5"/>
  </sheets>
  <definedNames/>
  <calcPr/>
</workbook>
</file>

<file path=xl/sharedStrings.xml><?xml version="1.0" encoding="utf-8"?>
<sst xmlns="http://schemas.openxmlformats.org/spreadsheetml/2006/main" count="30" uniqueCount="26">
  <si>
    <t>Pengajuan Gadai Baru</t>
  </si>
  <si>
    <t>Lelang</t>
  </si>
  <si>
    <t>Barang Jaminan</t>
  </si>
  <si>
    <t>Tanggal Pengajuan Gadai Baru</t>
  </si>
  <si>
    <t>Tanggal Lelang</t>
  </si>
  <si>
    <t>Karatase</t>
  </si>
  <si>
    <t>Berat</t>
  </si>
  <si>
    <t>NPBL</t>
  </si>
  <si>
    <t>Uang Pinjaman</t>
  </si>
  <si>
    <t>input</t>
  </si>
  <si>
    <t xml:space="preserve">HDLE </t>
  </si>
  <si>
    <t>Sewa Modal</t>
  </si>
  <si>
    <t>Denda Sewa Modal (KCA Fleksi)</t>
  </si>
  <si>
    <t>Denda Keterlambatan</t>
  </si>
  <si>
    <t>Total NPBL</t>
  </si>
  <si>
    <t>Harga Minimal Lelang</t>
  </si>
  <si>
    <t>Nilai Pasar Barang Lelang</t>
  </si>
  <si>
    <t>Harga Limit Lelang</t>
  </si>
  <si>
    <t>DISKON/TIDAK DISKON</t>
  </si>
  <si>
    <t>Minimal Penjualan Lelang</t>
  </si>
  <si>
    <t>Diskon Lelang (Rp)</t>
  </si>
  <si>
    <t>Diskon Lelang (%)</t>
  </si>
  <si>
    <t>Minimal Kewajiban Pembeli Lelang</t>
  </si>
  <si>
    <t>Bea Lelang Pembeli</t>
  </si>
  <si>
    <t>Bea Lelang Penjual</t>
  </si>
  <si>
    <t>HMLS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</si>
</sst>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 mmmm yyyy"/>
  </numFmts>
  <fonts count="7">
    <font>
      <sz val="10.0"/>
      <color rgb="FF000000"/>
      <name val="Arial"/>
      <scheme val="minor"/>
    </font>
    <font>
      <b/>
      <color rgb="FFFF0000"/>
      <name val="Arial"/>
      <scheme val="minor"/>
    </font>
    <font>
      <b/>
      <color theme="1"/>
      <name val="Arial"/>
      <scheme val="minor"/>
    </font>
    <font/>
    <font>
      <b/>
      <color theme="1"/>
      <name val="Arial"/>
    </font>
    <font>
      <color theme="1"/>
      <name val="Arial"/>
    </font>
    <font>
      <color theme="1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EAD1DC"/>
        <bgColor rgb="FFEAD1DC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</fills>
  <borders count="7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 vertical="center"/>
    </xf>
    <xf borderId="1" fillId="2" fontId="2" numFmtId="0" xfId="0" applyAlignment="1" applyBorder="1" applyFill="1" applyFont="1">
      <alignment horizontal="center" readingOrder="0" vertical="center"/>
    </xf>
    <xf borderId="2" fillId="0" fontId="3" numFmtId="0" xfId="0" applyBorder="1" applyFont="1"/>
    <xf borderId="1" fillId="3" fontId="2" numFmtId="0" xfId="0" applyAlignment="1" applyBorder="1" applyFill="1" applyFont="1">
      <alignment horizontal="center" readingOrder="0" vertical="center"/>
    </xf>
    <xf borderId="3" fillId="4" fontId="2" numFmtId="0" xfId="0" applyAlignment="1" applyBorder="1" applyFill="1" applyFont="1">
      <alignment horizontal="center" readingOrder="0"/>
    </xf>
    <xf borderId="4" fillId="0" fontId="3" numFmtId="0" xfId="0" applyBorder="1" applyFont="1"/>
    <xf borderId="5" fillId="0" fontId="3" numFmtId="0" xfId="0" applyBorder="1" applyFont="1"/>
    <xf borderId="6" fillId="5" fontId="2" numFmtId="0" xfId="0" applyAlignment="1" applyBorder="1" applyFill="1" applyFont="1">
      <alignment readingOrder="0"/>
    </xf>
    <xf borderId="6" fillId="6" fontId="4" numFmtId="164" xfId="0" applyAlignment="1" applyBorder="1" applyFill="1" applyFont="1" applyNumberFormat="1">
      <alignment horizontal="right" readingOrder="0" vertical="bottom"/>
    </xf>
    <xf borderId="0" fillId="0" fontId="5" numFmtId="164" xfId="0" applyAlignment="1" applyFont="1" applyNumberFormat="1">
      <alignment horizontal="right" vertical="bottom"/>
    </xf>
    <xf borderId="6" fillId="5" fontId="4" numFmtId="0" xfId="0" applyAlignment="1" applyBorder="1" applyFont="1">
      <alignment horizontal="left" readingOrder="0" vertical="bottom"/>
    </xf>
    <xf borderId="6" fillId="0" fontId="4" numFmtId="164" xfId="0" applyAlignment="1" applyBorder="1" applyFont="1" applyNumberFormat="1">
      <alignment horizontal="right" readingOrder="0" vertical="bottom"/>
    </xf>
    <xf borderId="6" fillId="5" fontId="2" numFmtId="0" xfId="0" applyAlignment="1" applyBorder="1" applyFont="1">
      <alignment horizontal="center" readingOrder="0"/>
    </xf>
    <xf borderId="6" fillId="0" fontId="2" numFmtId="0" xfId="0" applyAlignment="1" applyBorder="1" applyFont="1">
      <alignment readingOrder="0"/>
    </xf>
    <xf borderId="6" fillId="0" fontId="6" numFmtId="3" xfId="0" applyAlignment="1" applyBorder="1" applyFont="1" applyNumberFormat="1">
      <alignment readingOrder="0"/>
    </xf>
    <xf borderId="0" fillId="0" fontId="1" numFmtId="0" xfId="0" applyAlignment="1" applyFont="1">
      <alignment horizontal="center" readingOrder="0" vertical="center"/>
    </xf>
    <xf borderId="6" fillId="0" fontId="6" numFmtId="0" xfId="0" applyAlignment="1" applyBorder="1" applyFont="1">
      <alignment readingOrder="0"/>
    </xf>
    <xf borderId="6" fillId="0" fontId="6" numFmtId="3" xfId="0" applyBorder="1" applyFont="1" applyNumberFormat="1"/>
    <xf borderId="6" fillId="0" fontId="6" numFmtId="3" xfId="0" applyAlignment="1" applyBorder="1" applyFont="1" applyNumberFormat="1">
      <alignment horizontal="right" readingOrder="0"/>
    </xf>
    <xf borderId="0" fillId="0" fontId="2" numFmtId="0" xfId="0" applyAlignment="1" applyFont="1">
      <alignment horizontal="center" readingOrder="0"/>
    </xf>
    <xf borderId="6" fillId="0" fontId="6" numFmtId="0" xfId="0" applyBorder="1" applyFont="1"/>
    <xf borderId="3" fillId="5" fontId="2" numFmtId="0" xfId="0" applyAlignment="1" applyBorder="1" applyFont="1">
      <alignment horizontal="center" readingOrder="0"/>
    </xf>
    <xf borderId="6" fillId="5" fontId="2" numFmtId="3" xfId="0" applyAlignment="1" applyBorder="1" applyFont="1" applyNumberFormat="1">
      <alignment horizontal="center"/>
    </xf>
    <xf borderId="6" fillId="3" fontId="4" numFmtId="0" xfId="0" applyAlignment="1" applyBorder="1" applyFont="1">
      <alignment horizontal="center" readingOrder="0" vertical="bottom"/>
    </xf>
    <xf borderId="6" fillId="3" fontId="4" numFmtId="3" xfId="0" applyAlignment="1" applyBorder="1" applyFont="1" applyNumberFormat="1">
      <alignment horizontal="center" vertical="bottom"/>
    </xf>
    <xf borderId="6" fillId="3" fontId="4" numFmtId="0" xfId="0" applyAlignment="1" applyBorder="1" applyFont="1">
      <alignment vertical="bottom"/>
    </xf>
    <xf borderId="6" fillId="3" fontId="4" numFmtId="0" xfId="0" applyAlignment="1" applyBorder="1" applyFont="1">
      <alignment vertical="bottom"/>
    </xf>
    <xf borderId="6" fillId="3" fontId="2" numFmtId="0" xfId="0" applyAlignment="1" applyBorder="1" applyFont="1">
      <alignment readingOrder="0"/>
    </xf>
    <xf borderId="6" fillId="7" fontId="5" numFmtId="3" xfId="0" applyAlignment="1" applyBorder="1" applyFill="1" applyFont="1" applyNumberFormat="1">
      <alignment horizontal="center" vertical="bottom"/>
    </xf>
    <xf borderId="6" fillId="7" fontId="5" numFmtId="0" xfId="0" applyAlignment="1" applyBorder="1" applyFont="1">
      <alignment horizontal="center" vertical="bottom"/>
    </xf>
    <xf borderId="6" fillId="8" fontId="2" numFmtId="10" xfId="0" applyBorder="1" applyFill="1" applyFont="1" applyNumberFormat="1"/>
    <xf borderId="6" fillId="9" fontId="2" numFmtId="3" xfId="0" applyAlignment="1" applyBorder="1" applyFill="1" applyFont="1" applyNumberFormat="1">
      <alignment horizontal="center" readingOrder="0" shrinkToFit="0" wrapText="1"/>
    </xf>
    <xf borderId="0" fillId="0" fontId="2" numFmtId="0" xfId="0" applyAlignment="1" applyFont="1">
      <alignment readingOrder="0"/>
    </xf>
    <xf borderId="0" fillId="0" fontId="6" numFmtId="3" xfId="0" applyFont="1" applyNumberFormat="1"/>
    <xf borderId="0" fillId="0" fontId="1" numFmtId="10" xfId="0" applyFont="1" applyNumberFormat="1"/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5"/>
    <col customWidth="1" min="2" max="2" width="26.88"/>
    <col customWidth="1" min="3" max="3" width="16.0"/>
    <col customWidth="1" min="4" max="4" width="23.13"/>
    <col customWidth="1" min="5" max="5" width="21.38"/>
    <col customWidth="1" min="6" max="6" width="16.13"/>
    <col customWidth="1" min="7" max="7" width="15.5"/>
    <col customWidth="1" min="8" max="8" width="28.63"/>
    <col customWidth="1" min="9" max="9" width="19.63"/>
    <col customWidth="1" min="10" max="10" width="21.38"/>
    <col customWidth="1" min="11" max="11" width="16.13"/>
    <col customWidth="1" min="12" max="12" width="15.5"/>
  </cols>
  <sheetData>
    <row r="1">
      <c r="A1" s="1"/>
    </row>
    <row r="2">
      <c r="A2" s="2"/>
      <c r="B2" s="2"/>
      <c r="D2" s="2"/>
      <c r="E2" s="2"/>
      <c r="F2" s="2"/>
    </row>
    <row r="3">
      <c r="A3" s="3" t="s">
        <v>0</v>
      </c>
      <c r="B3" s="4"/>
      <c r="D3" s="5" t="s">
        <v>1</v>
      </c>
      <c r="E3" s="4"/>
      <c r="F3" s="2"/>
      <c r="G3" s="6" t="s">
        <v>2</v>
      </c>
      <c r="H3" s="7"/>
      <c r="I3" s="8"/>
    </row>
    <row r="4">
      <c r="A4" s="9" t="s">
        <v>3</v>
      </c>
      <c r="B4" s="10">
        <v>46031.0</v>
      </c>
      <c r="C4" s="11"/>
      <c r="D4" s="12" t="s">
        <v>4</v>
      </c>
      <c r="E4" s="13">
        <v>46233.0</v>
      </c>
      <c r="F4" s="2"/>
      <c r="G4" s="14" t="s">
        <v>5</v>
      </c>
      <c r="H4" s="14" t="s">
        <v>6</v>
      </c>
      <c r="I4" s="14" t="s">
        <v>7</v>
      </c>
    </row>
    <row r="5">
      <c r="A5" s="15" t="s">
        <v>8</v>
      </c>
      <c r="B5" s="16">
        <v>1.5E7</v>
      </c>
      <c r="C5" s="1" t="s">
        <v>9</v>
      </c>
      <c r="D5" s="15" t="s">
        <v>10</v>
      </c>
      <c r="E5" s="16">
        <v>3800000.0</v>
      </c>
      <c r="F5" s="17" t="s">
        <v>9</v>
      </c>
      <c r="G5" s="18">
        <v>14.0</v>
      </c>
      <c r="H5" s="18">
        <v>7.0</v>
      </c>
      <c r="I5" s="19">
        <f t="shared" ref="I5:I14" si="1">ROUND((G5/24)*H5*$E$5,0)</f>
        <v>15516667</v>
      </c>
    </row>
    <row r="6">
      <c r="A6" s="15" t="s">
        <v>11</v>
      </c>
      <c r="B6" s="20">
        <v>960000.0</v>
      </c>
      <c r="C6" s="1" t="s">
        <v>9</v>
      </c>
      <c r="F6" s="2"/>
      <c r="G6" s="18"/>
      <c r="H6" s="18"/>
      <c r="I6" s="19">
        <f t="shared" si="1"/>
        <v>0</v>
      </c>
    </row>
    <row r="7">
      <c r="A7" s="15" t="s">
        <v>12</v>
      </c>
      <c r="B7" s="16">
        <v>0.0</v>
      </c>
      <c r="C7" s="1" t="s">
        <v>9</v>
      </c>
      <c r="F7" s="2"/>
      <c r="G7" s="18"/>
      <c r="H7" s="18"/>
      <c r="I7" s="19">
        <f t="shared" si="1"/>
        <v>0</v>
      </c>
    </row>
    <row r="8">
      <c r="A8" s="15" t="s">
        <v>13</v>
      </c>
      <c r="B8" s="16">
        <v>0.0</v>
      </c>
      <c r="C8" s="1" t="s">
        <v>9</v>
      </c>
      <c r="D8" s="21"/>
      <c r="E8" s="21"/>
      <c r="F8" s="2"/>
      <c r="G8" s="22"/>
      <c r="H8" s="22"/>
      <c r="I8" s="19">
        <f t="shared" si="1"/>
        <v>0</v>
      </c>
    </row>
    <row r="9">
      <c r="D9" s="21"/>
      <c r="E9" s="21"/>
      <c r="F9" s="2"/>
      <c r="G9" s="22"/>
      <c r="H9" s="22"/>
      <c r="I9" s="19">
        <f t="shared" si="1"/>
        <v>0</v>
      </c>
    </row>
    <row r="10">
      <c r="D10" s="21"/>
      <c r="E10" s="21"/>
      <c r="F10" s="2"/>
      <c r="G10" s="22"/>
      <c r="H10" s="22"/>
      <c r="I10" s="19">
        <f t="shared" si="1"/>
        <v>0</v>
      </c>
    </row>
    <row r="11">
      <c r="D11" s="21"/>
      <c r="E11" s="21"/>
      <c r="F11" s="2"/>
      <c r="G11" s="22"/>
      <c r="H11" s="22"/>
      <c r="I11" s="19">
        <f t="shared" si="1"/>
        <v>0</v>
      </c>
    </row>
    <row r="12">
      <c r="D12" s="21"/>
      <c r="E12" s="21"/>
      <c r="F12" s="2"/>
      <c r="G12" s="22"/>
      <c r="H12" s="22"/>
      <c r="I12" s="19">
        <f t="shared" si="1"/>
        <v>0</v>
      </c>
    </row>
    <row r="13">
      <c r="D13" s="21"/>
      <c r="E13" s="21"/>
      <c r="F13" s="2"/>
      <c r="G13" s="22"/>
      <c r="H13" s="22"/>
      <c r="I13" s="19">
        <f t="shared" si="1"/>
        <v>0</v>
      </c>
    </row>
    <row r="14">
      <c r="D14" s="21"/>
      <c r="E14" s="21"/>
      <c r="F14" s="2"/>
      <c r="G14" s="22"/>
      <c r="H14" s="22"/>
      <c r="I14" s="19">
        <f t="shared" si="1"/>
        <v>0</v>
      </c>
    </row>
    <row r="15">
      <c r="D15" s="21"/>
      <c r="E15" s="21"/>
      <c r="F15" s="2"/>
      <c r="G15" s="23" t="s">
        <v>14</v>
      </c>
      <c r="H15" s="8"/>
      <c r="I15" s="24">
        <f>SUM(I5:I14)</f>
        <v>15516667</v>
      </c>
    </row>
    <row r="16">
      <c r="D16" s="21"/>
      <c r="E16" s="21"/>
      <c r="F16" s="2"/>
    </row>
    <row r="17">
      <c r="D17" s="21"/>
      <c r="E17" s="21"/>
      <c r="F17" s="2"/>
    </row>
    <row r="18">
      <c r="A18" s="25" t="s">
        <v>15</v>
      </c>
      <c r="B18" s="25" t="s">
        <v>16</v>
      </c>
      <c r="C18" s="25" t="s">
        <v>17</v>
      </c>
      <c r="D18" s="26" t="s">
        <v>18</v>
      </c>
      <c r="E18" s="26" t="s">
        <v>19</v>
      </c>
      <c r="F18" s="27" t="s">
        <v>20</v>
      </c>
      <c r="G18" s="28" t="s">
        <v>21</v>
      </c>
      <c r="H18" s="29" t="s">
        <v>22</v>
      </c>
    </row>
    <row r="19">
      <c r="A19" s="30">
        <f>(101/99)*(B5+B6+B7+B8)</f>
        <v>16282424.24</v>
      </c>
      <c r="B19" s="30">
        <f>I15</f>
        <v>15516667</v>
      </c>
      <c r="C19" s="30">
        <f>MAX(A19:B19)</f>
        <v>16282424.24</v>
      </c>
      <c r="D19" s="31" t="str">
        <f>IF(B19&lt;A19,"DISKON","TIDAK DISKON")</f>
        <v>DISKON</v>
      </c>
      <c r="E19" s="30">
        <f>C19</f>
        <v>16282424.24</v>
      </c>
      <c r="F19" s="30">
        <f>IF(D19="TIDAK DISKON",0,C19-B19)</f>
        <v>765757.2424</v>
      </c>
      <c r="G19" s="32">
        <f>IF(D19="TIDAK DISKON",0%,IFERROR(MIN((B24-B19)/(B6+B7),100%),0))</f>
        <v>0.7787305964</v>
      </c>
      <c r="H19" s="33">
        <f>IF(D19="TIDAK DISKON",C19*(102.1/101),IF(G19&lt;100%,B19,B5*(1+2%)))</f>
        <v>15516667</v>
      </c>
      <c r="I19" s="21"/>
      <c r="J19" s="21"/>
      <c r="K19" s="34"/>
      <c r="L19" s="34"/>
    </row>
    <row r="20">
      <c r="A20" s="21"/>
      <c r="B20" s="21"/>
      <c r="C20" s="21"/>
      <c r="F20" s="35"/>
      <c r="H20" s="35"/>
      <c r="L20" s="36"/>
    </row>
    <row r="22">
      <c r="A22" s="37" t="s">
        <v>23</v>
      </c>
      <c r="B22" s="35">
        <f>(1/102)*B19</f>
        <v>152124.1863</v>
      </c>
    </row>
    <row r="23">
      <c r="A23" s="37" t="s">
        <v>24</v>
      </c>
      <c r="B23" s="35">
        <f>(1/102)*B19</f>
        <v>152124.1863</v>
      </c>
    </row>
    <row r="24">
      <c r="A24" s="37" t="s">
        <v>25</v>
      </c>
      <c r="B24" s="35">
        <f>B5+B6+B7+B22+B23</f>
        <v>16264248.37</v>
      </c>
    </row>
  </sheetData>
  <mergeCells count="4">
    <mergeCell ref="A3:B3"/>
    <mergeCell ref="D3:E3"/>
    <mergeCell ref="G3:I3"/>
    <mergeCell ref="G15:H15"/>
  </mergeCells>
  <drawing r:id="rId1"/>
</worksheet>
</file>